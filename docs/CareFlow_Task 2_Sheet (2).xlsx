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8616AF13-4435-48C7-A72E-5F57EBC03DE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Task Sheet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2" l="1"/>
  <c r="C7" i="2"/>
  <c r="B7" i="2"/>
  <c r="E7" i="2" s="1"/>
  <c r="F7" i="2" s="1"/>
  <c r="D6" i="2"/>
  <c r="C6" i="2"/>
  <c r="B6" i="2"/>
  <c r="E6" i="2" s="1"/>
  <c r="F6" i="2" s="1"/>
  <c r="D5" i="2"/>
  <c r="C5" i="2"/>
  <c r="B5" i="2"/>
  <c r="E5" i="2" s="1"/>
  <c r="F5" i="2" s="1"/>
  <c r="D4" i="2"/>
  <c r="D8" i="2" s="1"/>
  <c r="C4" i="2"/>
  <c r="C8" i="2" s="1"/>
  <c r="B4" i="2"/>
  <c r="B8" i="2" s="1"/>
  <c r="E4" i="2" l="1"/>
  <c r="F4" i="2" l="1"/>
  <c r="E8" i="2"/>
  <c r="F8" i="2" s="1"/>
</calcChain>
</file>

<file path=xl/sharedStrings.xml><?xml version="1.0" encoding="utf-8"?>
<sst xmlns="http://schemas.openxmlformats.org/spreadsheetml/2006/main" count="171" uniqueCount="54">
  <si>
    <t>CareFlow – Task Sheet</t>
  </si>
  <si>
    <t>Week</t>
  </si>
  <si>
    <t>Member</t>
  </si>
  <si>
    <t>Task</t>
  </si>
  <si>
    <t>Due Date</t>
  </si>
  <si>
    <t>Status</t>
  </si>
  <si>
    <t>Notes</t>
  </si>
  <si>
    <t>Week 1</t>
  </si>
  <si>
    <t>Mosharib</t>
  </si>
  <si>
    <t>Add more loop-backs and long waits in the data</t>
  </si>
  <si>
    <t>13 Oct 2026</t>
  </si>
  <si>
    <t>Finished</t>
  </si>
  <si>
    <t>Check columns (Case ID, Activity, Timestamp)</t>
  </si>
  <si>
    <t>Write README and commit</t>
  </si>
  <si>
    <t>Chandana</t>
  </si>
  <si>
    <t>Set up SQLite/MySQL database</t>
  </si>
  <si>
    <t>Load Mosharib's CSV into the database</t>
  </si>
  <si>
    <t>Write first cleaning SQL</t>
  </si>
  <si>
    <t>Shubhangi</t>
  </si>
  <si>
    <t>Load CSV in pandas</t>
  </si>
  <si>
    <t>Count patient paths and loop-backs</t>
  </si>
  <si>
    <t>Write 4-5 lines of findings</t>
  </si>
  <si>
    <t>Varshini</t>
  </si>
  <si>
    <t>Create repo and branches, task sheet</t>
  </si>
  <si>
    <t>Work Distribution Document draft</t>
  </si>
  <si>
    <t>Power BI layout on sample data</t>
  </si>
  <si>
    <t>Week 2</t>
  </si>
  <si>
    <t>Spread Date over 30 days and add Department column</t>
  </si>
  <si>
    <t>22 Oct 2026</t>
  </si>
  <si>
    <t>In progress</t>
  </si>
  <si>
    <t>Date and Department added; waiting for more varied data</t>
  </si>
  <si>
    <t>Make 15-20 different patient paths with more loop-backs and long waits</t>
  </si>
  <si>
    <t>Python check for nulls, duplicates and time order</t>
  </si>
  <si>
    <t>Update README with column meanings and commit new CSV</t>
  </si>
  <si>
    <t>Load the new CSV into the database</t>
  </si>
  <si>
    <t>Write cleaning SQL (no duplicates, no nulls, time in order)</t>
  </si>
  <si>
    <t>Write 3 queries: patients per activity, average time, top 5 longest waits</t>
  </si>
  <si>
    <t>Export cleaned table as CSV and commit SQL files</t>
  </si>
  <si>
    <t>Load new CSV in pandas and check it</t>
  </si>
  <si>
    <t>Count unique paths and list top 5</t>
  </si>
  <si>
    <t>Calculate wait time between activities</t>
  </si>
  <si>
    <t>Find loop-backs and slowest activity</t>
  </si>
  <si>
    <t>Make 3 charts and write 5 lines of findings</t>
  </si>
  <si>
    <t>Dashboard page 1: card, bar chart, line chart by Date</t>
  </si>
  <si>
    <t>Add Department filter</t>
  </si>
  <si>
    <t>Add wait-time visuals when data is ready</t>
  </si>
  <si>
    <t>Not started</t>
  </si>
  <si>
    <t>Update Work Distribution Document with Week 2</t>
  </si>
  <si>
    <t>Daily progress reports and nightly commit check</t>
  </si>
  <si>
    <t>Progress Summary</t>
  </si>
  <si>
    <t>Total</t>
  </si>
  <si>
    <t>% Finished</t>
  </si>
  <si>
    <t>Team</t>
  </si>
  <si>
    <t>Counts update automatically from the Task Sheet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</si>
</sst>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2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6EFC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0" fillId="0" borderId="0" xfId="0" applyAlignment="1"/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Normal="100" workbookViewId="0">
      <selection activeCell="H20" sqref="H20"/>
    </sheetView>
  </sheetViews>
  <sheetFormatPr defaultColWidth="8.7109375" defaultRowHeight="15" x14ac:dyDescent="0.25"/>
  <cols>
    <col min="1" max="1" width="9" customWidth="1"/>
    <col min="2" max="2" width="12" customWidth="1"/>
    <col min="3" max="3" width="62" customWidth="1"/>
    <col min="4" max="5" width="13" customWidth="1"/>
    <col min="6" max="6" width="44" customWidth="1"/>
  </cols>
  <sheetData>
    <row r="1" spans="1:6" ht="26.25" x14ac:dyDescent="0.25">
      <c r="A1" s="1"/>
      <c r="C1" s="13" t="s">
        <v>0</v>
      </c>
    </row>
    <row r="2" spans="1:6" x14ac:dyDescent="0.25">
      <c r="A2" s="2"/>
      <c r="C2" s="12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x14ac:dyDescent="0.2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/>
    </row>
    <row r="6" spans="1:6" x14ac:dyDescent="0.25">
      <c r="A6" s="4" t="s">
        <v>7</v>
      </c>
      <c r="B6" s="4" t="s">
        <v>8</v>
      </c>
      <c r="C6" s="4" t="s">
        <v>12</v>
      </c>
      <c r="D6" s="4" t="s">
        <v>10</v>
      </c>
      <c r="E6" s="4" t="s">
        <v>11</v>
      </c>
      <c r="F6" s="4"/>
    </row>
    <row r="7" spans="1:6" x14ac:dyDescent="0.25">
      <c r="A7" s="4" t="s">
        <v>7</v>
      </c>
      <c r="B7" s="4" t="s">
        <v>8</v>
      </c>
      <c r="C7" s="4" t="s">
        <v>13</v>
      </c>
      <c r="D7" s="4" t="s">
        <v>10</v>
      </c>
      <c r="E7" s="4" t="s">
        <v>11</v>
      </c>
      <c r="F7" s="4"/>
    </row>
    <row r="8" spans="1:6" x14ac:dyDescent="0.25">
      <c r="A8" s="4" t="s">
        <v>7</v>
      </c>
      <c r="B8" s="4" t="s">
        <v>14</v>
      </c>
      <c r="C8" s="4" t="s">
        <v>15</v>
      </c>
      <c r="D8" s="4" t="s">
        <v>10</v>
      </c>
      <c r="E8" s="4" t="s">
        <v>11</v>
      </c>
      <c r="F8" s="4"/>
    </row>
    <row r="9" spans="1:6" x14ac:dyDescent="0.25">
      <c r="A9" s="4" t="s">
        <v>7</v>
      </c>
      <c r="B9" s="4" t="s">
        <v>14</v>
      </c>
      <c r="C9" s="4" t="s">
        <v>16</v>
      </c>
      <c r="D9" s="4" t="s">
        <v>10</v>
      </c>
      <c r="E9" s="4" t="s">
        <v>11</v>
      </c>
      <c r="F9" s="4"/>
    </row>
    <row r="10" spans="1:6" x14ac:dyDescent="0.25">
      <c r="A10" s="4" t="s">
        <v>7</v>
      </c>
      <c r="B10" s="4" t="s">
        <v>14</v>
      </c>
      <c r="C10" s="4" t="s">
        <v>17</v>
      </c>
      <c r="D10" s="4" t="s">
        <v>10</v>
      </c>
      <c r="E10" s="4" t="s">
        <v>11</v>
      </c>
      <c r="F10" s="4"/>
    </row>
    <row r="11" spans="1:6" x14ac:dyDescent="0.25">
      <c r="A11" s="4" t="s">
        <v>7</v>
      </c>
      <c r="B11" s="4" t="s">
        <v>18</v>
      </c>
      <c r="C11" s="4" t="s">
        <v>19</v>
      </c>
      <c r="D11" s="4" t="s">
        <v>10</v>
      </c>
      <c r="E11" s="4" t="s">
        <v>11</v>
      </c>
      <c r="F11" s="4"/>
    </row>
    <row r="12" spans="1:6" x14ac:dyDescent="0.25">
      <c r="A12" s="4" t="s">
        <v>7</v>
      </c>
      <c r="B12" s="4" t="s">
        <v>18</v>
      </c>
      <c r="C12" s="4" t="s">
        <v>20</v>
      </c>
      <c r="D12" s="4" t="s">
        <v>10</v>
      </c>
      <c r="E12" s="4" t="s">
        <v>11</v>
      </c>
      <c r="F12" s="4"/>
    </row>
    <row r="13" spans="1:6" x14ac:dyDescent="0.25">
      <c r="A13" s="4" t="s">
        <v>7</v>
      </c>
      <c r="B13" s="4" t="s">
        <v>18</v>
      </c>
      <c r="C13" s="4" t="s">
        <v>21</v>
      </c>
      <c r="D13" s="4" t="s">
        <v>10</v>
      </c>
      <c r="E13" s="4" t="s">
        <v>11</v>
      </c>
      <c r="F13" s="4"/>
    </row>
    <row r="14" spans="1:6" x14ac:dyDescent="0.25">
      <c r="A14" s="4" t="s">
        <v>7</v>
      </c>
      <c r="B14" s="4" t="s">
        <v>22</v>
      </c>
      <c r="C14" s="4" t="s">
        <v>23</v>
      </c>
      <c r="D14" s="4" t="s">
        <v>10</v>
      </c>
      <c r="E14" s="4" t="s">
        <v>11</v>
      </c>
      <c r="F14" s="4"/>
    </row>
    <row r="15" spans="1:6" x14ac:dyDescent="0.25">
      <c r="A15" s="4" t="s">
        <v>7</v>
      </c>
      <c r="B15" s="4" t="s">
        <v>22</v>
      </c>
      <c r="C15" s="4" t="s">
        <v>24</v>
      </c>
      <c r="D15" s="4" t="s">
        <v>10</v>
      </c>
      <c r="E15" s="4" t="s">
        <v>11</v>
      </c>
      <c r="F15" s="4"/>
    </row>
    <row r="16" spans="1:6" x14ac:dyDescent="0.25">
      <c r="A16" s="4" t="s">
        <v>7</v>
      </c>
      <c r="B16" s="4" t="s">
        <v>22</v>
      </c>
      <c r="C16" s="4" t="s">
        <v>25</v>
      </c>
      <c r="D16" s="4" t="s">
        <v>10</v>
      </c>
      <c r="E16" s="4" t="s">
        <v>11</v>
      </c>
      <c r="F16" s="4"/>
    </row>
    <row r="17" spans="1:6" ht="25.5" x14ac:dyDescent="0.25">
      <c r="A17" s="4" t="s">
        <v>26</v>
      </c>
      <c r="B17" s="4" t="s">
        <v>8</v>
      </c>
      <c r="C17" s="4" t="s">
        <v>27</v>
      </c>
      <c r="D17" s="4" t="s">
        <v>28</v>
      </c>
      <c r="E17" s="4" t="s">
        <v>29</v>
      </c>
      <c r="F17" s="4" t="s">
        <v>30</v>
      </c>
    </row>
    <row r="18" spans="1:6" x14ac:dyDescent="0.25">
      <c r="A18" s="4" t="s">
        <v>26</v>
      </c>
      <c r="B18" s="4" t="s">
        <v>8</v>
      </c>
      <c r="C18" s="4" t="s">
        <v>31</v>
      </c>
      <c r="D18" s="4" t="s">
        <v>28</v>
      </c>
      <c r="E18" s="4" t="s">
        <v>29</v>
      </c>
      <c r="F18" s="4"/>
    </row>
    <row r="19" spans="1:6" x14ac:dyDescent="0.25">
      <c r="A19" s="4" t="s">
        <v>26</v>
      </c>
      <c r="B19" s="4" t="s">
        <v>8</v>
      </c>
      <c r="C19" s="4" t="s">
        <v>32</v>
      </c>
      <c r="D19" s="4" t="s">
        <v>28</v>
      </c>
      <c r="E19" s="4" t="s">
        <v>29</v>
      </c>
      <c r="F19" s="4"/>
    </row>
    <row r="20" spans="1:6" x14ac:dyDescent="0.25">
      <c r="A20" s="4" t="s">
        <v>26</v>
      </c>
      <c r="B20" s="4" t="s">
        <v>8</v>
      </c>
      <c r="C20" s="4" t="s">
        <v>33</v>
      </c>
      <c r="D20" s="4" t="s">
        <v>28</v>
      </c>
      <c r="E20" s="4" t="s">
        <v>29</v>
      </c>
      <c r="F20" s="4"/>
    </row>
    <row r="21" spans="1:6" x14ac:dyDescent="0.25">
      <c r="A21" s="4" t="s">
        <v>26</v>
      </c>
      <c r="B21" s="4" t="s">
        <v>14</v>
      </c>
      <c r="C21" s="4" t="s">
        <v>34</v>
      </c>
      <c r="D21" s="4" t="s">
        <v>28</v>
      </c>
      <c r="E21" s="4" t="s">
        <v>29</v>
      </c>
      <c r="F21" s="4"/>
    </row>
    <row r="22" spans="1:6" x14ac:dyDescent="0.25">
      <c r="A22" s="4" t="s">
        <v>26</v>
      </c>
      <c r="B22" s="4" t="s">
        <v>14</v>
      </c>
      <c r="C22" s="4" t="s">
        <v>35</v>
      </c>
      <c r="D22" s="4" t="s">
        <v>28</v>
      </c>
      <c r="E22" s="4" t="s">
        <v>29</v>
      </c>
      <c r="F22" s="4"/>
    </row>
    <row r="23" spans="1:6" x14ac:dyDescent="0.25">
      <c r="A23" s="4" t="s">
        <v>26</v>
      </c>
      <c r="B23" s="4" t="s">
        <v>14</v>
      </c>
      <c r="C23" s="4" t="s">
        <v>36</v>
      </c>
      <c r="D23" s="4" t="s">
        <v>28</v>
      </c>
      <c r="E23" s="4" t="s">
        <v>29</v>
      </c>
      <c r="F23" s="4"/>
    </row>
    <row r="24" spans="1:6" x14ac:dyDescent="0.25">
      <c r="A24" s="4" t="s">
        <v>26</v>
      </c>
      <c r="B24" s="4" t="s">
        <v>14</v>
      </c>
      <c r="C24" s="4" t="s">
        <v>37</v>
      </c>
      <c r="D24" s="4" t="s">
        <v>28</v>
      </c>
      <c r="E24" s="4" t="s">
        <v>29</v>
      </c>
      <c r="F24" s="4"/>
    </row>
    <row r="25" spans="1:6" x14ac:dyDescent="0.25">
      <c r="A25" s="4" t="s">
        <v>26</v>
      </c>
      <c r="B25" s="4" t="s">
        <v>18</v>
      </c>
      <c r="C25" s="4" t="s">
        <v>38</v>
      </c>
      <c r="D25" s="4" t="s">
        <v>28</v>
      </c>
      <c r="E25" s="4" t="s">
        <v>29</v>
      </c>
      <c r="F25" s="4"/>
    </row>
    <row r="26" spans="1:6" x14ac:dyDescent="0.25">
      <c r="A26" s="4" t="s">
        <v>26</v>
      </c>
      <c r="B26" s="4" t="s">
        <v>18</v>
      </c>
      <c r="C26" s="4" t="s">
        <v>39</v>
      </c>
      <c r="D26" s="4" t="s">
        <v>28</v>
      </c>
      <c r="E26" s="4" t="s">
        <v>29</v>
      </c>
      <c r="F26" s="4"/>
    </row>
    <row r="27" spans="1:6" x14ac:dyDescent="0.25">
      <c r="A27" s="4" t="s">
        <v>26</v>
      </c>
      <c r="B27" s="4" t="s">
        <v>18</v>
      </c>
      <c r="C27" s="4" t="s">
        <v>40</v>
      </c>
      <c r="D27" s="4" t="s">
        <v>28</v>
      </c>
      <c r="E27" s="4" t="s">
        <v>29</v>
      </c>
      <c r="F27" s="4"/>
    </row>
    <row r="28" spans="1:6" x14ac:dyDescent="0.25">
      <c r="A28" s="4" t="s">
        <v>26</v>
      </c>
      <c r="B28" s="4" t="s">
        <v>18</v>
      </c>
      <c r="C28" s="4" t="s">
        <v>41</v>
      </c>
      <c r="D28" s="4" t="s">
        <v>28</v>
      </c>
      <c r="E28" s="4" t="s">
        <v>29</v>
      </c>
      <c r="F28" s="4"/>
    </row>
    <row r="29" spans="1:6" x14ac:dyDescent="0.25">
      <c r="A29" s="4" t="s">
        <v>26</v>
      </c>
      <c r="B29" s="4" t="s">
        <v>18</v>
      </c>
      <c r="C29" s="4" t="s">
        <v>42</v>
      </c>
      <c r="D29" s="4" t="s">
        <v>28</v>
      </c>
      <c r="E29" s="4" t="s">
        <v>29</v>
      </c>
      <c r="F29" s="4"/>
    </row>
    <row r="30" spans="1:6" x14ac:dyDescent="0.25">
      <c r="A30" s="4" t="s">
        <v>26</v>
      </c>
      <c r="B30" s="4" t="s">
        <v>22</v>
      </c>
      <c r="C30" s="4" t="s">
        <v>43</v>
      </c>
      <c r="D30" s="4" t="s">
        <v>28</v>
      </c>
      <c r="E30" s="4" t="s">
        <v>29</v>
      </c>
      <c r="F30" s="4"/>
    </row>
    <row r="31" spans="1:6" x14ac:dyDescent="0.25">
      <c r="A31" s="4" t="s">
        <v>26</v>
      </c>
      <c r="B31" s="4" t="s">
        <v>22</v>
      </c>
      <c r="C31" s="4" t="s">
        <v>44</v>
      </c>
      <c r="D31" s="4" t="s">
        <v>28</v>
      </c>
      <c r="E31" s="4" t="s">
        <v>29</v>
      </c>
      <c r="F31" s="4"/>
    </row>
    <row r="32" spans="1:6" x14ac:dyDescent="0.25">
      <c r="A32" s="4" t="s">
        <v>26</v>
      </c>
      <c r="B32" s="4" t="s">
        <v>22</v>
      </c>
      <c r="C32" s="4" t="s">
        <v>45</v>
      </c>
      <c r="D32" s="4" t="s">
        <v>28</v>
      </c>
      <c r="E32" s="4" t="s">
        <v>46</v>
      </c>
      <c r="F32" s="4"/>
    </row>
    <row r="33" spans="1:6" x14ac:dyDescent="0.25">
      <c r="A33" s="4" t="s">
        <v>26</v>
      </c>
      <c r="B33" s="4" t="s">
        <v>22</v>
      </c>
      <c r="C33" s="4" t="s">
        <v>47</v>
      </c>
      <c r="D33" s="4" t="s">
        <v>28</v>
      </c>
      <c r="E33" s="4" t="s">
        <v>11</v>
      </c>
      <c r="F33" s="4"/>
    </row>
    <row r="34" spans="1:6" x14ac:dyDescent="0.25">
      <c r="A34" s="4" t="s">
        <v>26</v>
      </c>
      <c r="B34" s="4" t="s">
        <v>22</v>
      </c>
      <c r="C34" s="4" t="s">
        <v>48</v>
      </c>
      <c r="D34" s="4" t="s">
        <v>28</v>
      </c>
      <c r="E34" s="4" t="s">
        <v>29</v>
      </c>
      <c r="F34" s="4"/>
    </row>
  </sheetData>
  <conditionalFormatting sqref="E5:E34">
    <cfRule type="cellIs" dxfId="2" priority="2" operator="equal">
      <formula>"Finished"</formula>
    </cfRule>
    <cfRule type="cellIs" dxfId="1" priority="3" operator="equal">
      <formula>"In progress"</formula>
    </cfRule>
    <cfRule type="cellIs" dxfId="0" priority="4" operator="equal">
      <formula>"Not started"</formula>
    </cfRule>
  </conditionalFormatting>
  <dataValidations count="1">
    <dataValidation type="list" sqref="E5:E34" xr:uid="{00000000-0002-0000-0000-000000000000}">
      <formula1>"Finished,In progress,Not started"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11" customWidth="1"/>
    <col min="3" max="4" width="13" customWidth="1"/>
    <col min="5" max="5" width="9" customWidth="1"/>
    <col min="6" max="6" width="12" customWidth="1"/>
  </cols>
  <sheetData>
    <row r="1" spans="1:6" ht="18" x14ac:dyDescent="0.25">
      <c r="A1" s="1" t="s">
        <v>49</v>
      </c>
    </row>
    <row r="3" spans="1:6" x14ac:dyDescent="0.25">
      <c r="A3" s="5" t="s">
        <v>2</v>
      </c>
      <c r="B3" s="5" t="s">
        <v>11</v>
      </c>
      <c r="C3" s="5" t="s">
        <v>29</v>
      </c>
      <c r="D3" s="5" t="s">
        <v>46</v>
      </c>
      <c r="E3" s="5" t="s">
        <v>50</v>
      </c>
      <c r="F3" s="5" t="s">
        <v>51</v>
      </c>
    </row>
    <row r="4" spans="1:6" x14ac:dyDescent="0.25">
      <c r="A4" s="6" t="s">
        <v>8</v>
      </c>
      <c r="B4" s="7">
        <f>COUNTIFS('Task Sheet'!$B$5:$B$34,$A4,'Task Sheet'!$E$5:$E$34,"Finished")</f>
        <v>3</v>
      </c>
      <c r="C4" s="7">
        <f>COUNTIFS('Task Sheet'!$B$5:$B$34,$A4,'Task Sheet'!$E$5:$E$34,"In progress")</f>
        <v>4</v>
      </c>
      <c r="D4" s="7">
        <f>COUNTIFS('Task Sheet'!$B$5:$B$34,$A4,'Task Sheet'!$E$5:$E$34,"Not started")</f>
        <v>0</v>
      </c>
      <c r="E4" s="7">
        <f>SUM(B4:D4)</f>
        <v>7</v>
      </c>
      <c r="F4" s="8">
        <f>IF(E4=0,0,B4/E4)</f>
        <v>0.42857142857142855</v>
      </c>
    </row>
    <row r="5" spans="1:6" x14ac:dyDescent="0.25">
      <c r="A5" s="6" t="s">
        <v>14</v>
      </c>
      <c r="B5" s="7">
        <f>COUNTIFS('Task Sheet'!$B$5:$B$34,$A5,'Task Sheet'!$E$5:$E$34,"Finished")</f>
        <v>3</v>
      </c>
      <c r="C5" s="7">
        <f>COUNTIFS('Task Sheet'!$B$5:$B$34,$A5,'Task Sheet'!$E$5:$E$34,"In progress")</f>
        <v>4</v>
      </c>
      <c r="D5" s="7">
        <f>COUNTIFS('Task Sheet'!$B$5:$B$34,$A5,'Task Sheet'!$E$5:$E$34,"Not started")</f>
        <v>0</v>
      </c>
      <c r="E5" s="7">
        <f>SUM(B5:D5)</f>
        <v>7</v>
      </c>
      <c r="F5" s="8">
        <f>IF(E5=0,0,B5/E5)</f>
        <v>0.42857142857142855</v>
      </c>
    </row>
    <row r="6" spans="1:6" x14ac:dyDescent="0.25">
      <c r="A6" s="6" t="s">
        <v>18</v>
      </c>
      <c r="B6" s="7">
        <f>COUNTIFS('Task Sheet'!$B$5:$B$34,$A6,'Task Sheet'!$E$5:$E$34,"Finished")</f>
        <v>3</v>
      </c>
      <c r="C6" s="7">
        <f>COUNTIFS('Task Sheet'!$B$5:$B$34,$A6,'Task Sheet'!$E$5:$E$34,"In progress")</f>
        <v>5</v>
      </c>
      <c r="D6" s="7">
        <f>COUNTIFS('Task Sheet'!$B$5:$B$34,$A6,'Task Sheet'!$E$5:$E$34,"Not started")</f>
        <v>0</v>
      </c>
      <c r="E6" s="7">
        <f>SUM(B6:D6)</f>
        <v>8</v>
      </c>
      <c r="F6" s="8">
        <f>IF(E6=0,0,B6/E6)</f>
        <v>0.375</v>
      </c>
    </row>
    <row r="7" spans="1:6" x14ac:dyDescent="0.25">
      <c r="A7" s="6" t="s">
        <v>22</v>
      </c>
      <c r="B7" s="7">
        <f>COUNTIFS('Task Sheet'!$B$5:$B$34,$A7,'Task Sheet'!$E$5:$E$34,"Finished")</f>
        <v>4</v>
      </c>
      <c r="C7" s="7">
        <f>COUNTIFS('Task Sheet'!$B$5:$B$34,$A7,'Task Sheet'!$E$5:$E$34,"In progress")</f>
        <v>3</v>
      </c>
      <c r="D7" s="7">
        <f>COUNTIFS('Task Sheet'!$B$5:$B$34,$A7,'Task Sheet'!$E$5:$E$34,"Not started")</f>
        <v>1</v>
      </c>
      <c r="E7" s="7">
        <f>SUM(B7:D7)</f>
        <v>8</v>
      </c>
      <c r="F7" s="8">
        <f>IF(E7=0,0,B7/E7)</f>
        <v>0.5</v>
      </c>
    </row>
    <row r="8" spans="1:6" x14ac:dyDescent="0.25">
      <c r="A8" s="9" t="s">
        <v>52</v>
      </c>
      <c r="B8" s="10">
        <f>SUM(B4:B7)</f>
        <v>13</v>
      </c>
      <c r="C8" s="10">
        <f>SUM(C4:C7)</f>
        <v>16</v>
      </c>
      <c r="D8" s="10">
        <f>SUM(D4:D7)</f>
        <v>1</v>
      </c>
      <c r="E8" s="10">
        <f>SUM(E4:E7)</f>
        <v>30</v>
      </c>
      <c r="F8" s="11">
        <f>IF(E8=0,0,B8/E8)</f>
        <v>0.43333333333333335</v>
      </c>
    </row>
    <row r="10" spans="1:6" x14ac:dyDescent="0.25">
      <c r="A10" s="2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Sheet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varshini varshini</cp:lastModifiedBy>
  <cp:revision>0</cp:revision>
  <dcterms:created xsi:type="dcterms:W3CDTF">2026-10-17T13:55:15Z</dcterms:created>
  <dcterms:modified xsi:type="dcterms:W3CDTF">2026-10-17T13:59:08Z</dcterms:modified>
  <dc:language>en-US</dc:language>
</cp:coreProperties>
</file>